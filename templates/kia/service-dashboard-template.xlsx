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640" windowHeight="8280" tabRatio="600" firstSheet="0" activeTab="0" autoFilterDateGrouping="1"/>
  </bookViews>
  <sheets>
    <sheet xmlns:r="http://schemas.openxmlformats.org/officeDocument/2006/relationships" name="Service Dashboard" sheetId="1" state="visible" r:id="rId1"/>
  </sheets>
  <definedNames>
    <definedName name="_xlnm.Print_Area" localSheetId="0">'Service Dashboard'!$A$1:$C$41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d/mmm/yy;@"/>
    <numFmt numFmtId="165" formatCode="0.0"/>
    <numFmt numFmtId="166" formatCode="_ * #,##0.00_ ;_ * \-#,##0.00_ ;_ * &quot;-&quot;??_ ;_ @_ "/>
  </numFmts>
  <fonts count="11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34"/>
      <color theme="1"/>
      <sz val="12"/>
      <scheme val="minor"/>
    </font>
    <font>
      <name val="Calibri"/>
      <charset val="134"/>
      <b val="1"/>
      <color theme="1"/>
      <sz val="12"/>
      <scheme val="minor"/>
    </font>
    <font>
      <name val="Calibri"/>
      <charset val="134"/>
      <b val="1"/>
      <color theme="1"/>
      <sz val="18"/>
      <scheme val="minor"/>
    </font>
    <font>
      <name val="Calibri"/>
      <charset val="134"/>
      <b val="1"/>
      <color theme="1"/>
      <sz val="12"/>
    </font>
    <font>
      <name val="Calibri"/>
      <charset val="134"/>
      <b val="1"/>
      <color theme="1"/>
      <sz val="20"/>
      <scheme val="minor"/>
    </font>
    <font>
      <name val="Calibri"/>
      <charset val="134"/>
      <color theme="1"/>
      <sz val="12"/>
    </font>
    <font>
      <name val="Calibri"/>
      <charset val="134"/>
      <color theme="0"/>
      <sz val="12"/>
    </font>
    <font>
      <name val="Calibri"/>
      <charset val="134"/>
      <color theme="1"/>
      <sz val="11"/>
      <scheme val="minor"/>
    </font>
    <font>
      <name val="Calibri"/>
      <family val="2"/>
      <color theme="1"/>
      <sz val="12"/>
      <scheme val="minor"/>
    </font>
  </fonts>
  <fills count="1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3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9" fillId="0" borderId="0"/>
    <xf numFmtId="166" fontId="9" fillId="0" borderId="0"/>
  </cellStyleXfs>
  <cellXfs count="141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3" fillId="2" borderId="0" pivotButton="0" quotePrefix="0" xfId="0"/>
    <xf numFmtId="0" fontId="5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/>
    </xf>
    <xf numFmtId="164" fontId="3" fillId="4" borderId="4" applyAlignment="1" pivotButton="0" quotePrefix="0" xfId="0">
      <alignment horizontal="center"/>
    </xf>
    <xf numFmtId="0" fontId="3" fillId="4" borderId="6" applyAlignment="1" pivotButton="0" quotePrefix="0" xfId="0">
      <alignment horizontal="center"/>
    </xf>
    <xf numFmtId="164" fontId="3" fillId="4" borderId="7" applyAlignment="1" pivotButton="0" quotePrefix="0" xfId="0">
      <alignment horizontal="center"/>
    </xf>
    <xf numFmtId="0" fontId="3" fillId="4" borderId="1" applyAlignment="1" pivotButton="0" quotePrefix="0" xfId="0">
      <alignment vertical="center" wrapText="1"/>
    </xf>
    <xf numFmtId="0" fontId="3" fillId="4" borderId="9" applyAlignment="1" pivotButton="0" quotePrefix="0" xfId="0">
      <alignment horizontal="center" vertical="center" wrapText="1"/>
    </xf>
    <xf numFmtId="164" fontId="3" fillId="4" borderId="10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6" applyAlignment="1" pivotButton="0" quotePrefix="0" xfId="0">
      <alignment horizontal="center" vertical="center" wrapText="1"/>
    </xf>
    <xf numFmtId="164" fontId="3" fillId="4" borderId="7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/>
    </xf>
    <xf numFmtId="15" fontId="7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4" fontId="7" fillId="0" borderId="9" applyAlignment="1" pivotButton="0" quotePrefix="0" xfId="0">
      <alignment horizontal="center" vertical="center" wrapText="1"/>
    </xf>
    <xf numFmtId="15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15" fontId="7" fillId="2" borderId="1" applyAlignment="1" pivotButton="0" quotePrefix="0" xfId="0">
      <alignment horizontal="center" vertical="center" wrapText="1"/>
    </xf>
    <xf numFmtId="4" fontId="7" fillId="2" borderId="1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/>
    </xf>
    <xf numFmtId="0" fontId="6" fillId="8" borderId="12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  <xf numFmtId="14" fontId="2" fillId="8" borderId="1" applyAlignment="1" pivotButton="0" quotePrefix="0" xfId="0">
      <alignment horizontal="center" vertical="center"/>
    </xf>
    <xf numFmtId="164" fontId="2" fillId="8" borderId="9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7" fillId="8" borderId="9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15" fontId="7" fillId="8" borderId="1" applyAlignment="1" pivotButton="0" quotePrefix="0" xfId="0">
      <alignment horizontal="center" vertical="center" wrapText="1"/>
    </xf>
    <xf numFmtId="15" fontId="7" fillId="0" borderId="0" applyAlignment="1" pivotButton="0" quotePrefix="0" xfId="0">
      <alignment horizontal="center" vertical="center" wrapText="1"/>
    </xf>
    <xf numFmtId="4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4" fontId="1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14" fontId="2" fillId="8" borderId="0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14" fontId="10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4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center"/>
    </xf>
    <xf numFmtId="0" fontId="2" fillId="13" borderId="9" applyAlignment="1" pivotButton="0" quotePrefix="0" xfId="0">
      <alignment horizontal="center" vertical="center"/>
    </xf>
    <xf numFmtId="0" fontId="7" fillId="13" borderId="9" applyAlignment="1" pivotButton="0" quotePrefix="0" xfId="0">
      <alignment horizontal="center" vertical="center" wrapText="1"/>
    </xf>
    <xf numFmtId="0" fontId="7" fillId="6" borderId="9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6" borderId="1" applyAlignment="1" pivotButton="0" quotePrefix="0" xfId="1">
      <alignment horizontal="center"/>
    </xf>
    <xf numFmtId="0" fontId="0" fillId="1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1" fontId="0" fillId="12" borderId="2" applyAlignment="1" pivotButton="0" quotePrefix="0" xfId="0">
      <alignment horizontal="center"/>
    </xf>
    <xf numFmtId="1" fontId="0" fillId="12" borderId="13" applyAlignment="1" pivotButton="0" quotePrefix="0" xfId="0">
      <alignment horizontal="center"/>
    </xf>
    <xf numFmtId="1" fontId="0" fillId="11" borderId="2" applyAlignment="1" pivotButton="0" quotePrefix="0" xfId="0">
      <alignment horizontal="center"/>
    </xf>
    <xf numFmtId="1" fontId="0" fillId="11" borderId="13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" fontId="0" fillId="8" borderId="2" applyAlignment="1" pivotButton="0" quotePrefix="0" xfId="0">
      <alignment horizontal="center"/>
    </xf>
    <xf numFmtId="1" fontId="0" fillId="8" borderId="13" applyAlignment="1" pivotButton="0" quotePrefix="0" xfId="0">
      <alignment horizontal="center"/>
    </xf>
    <xf numFmtId="1" fontId="0" fillId="11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" fontId="0" fillId="8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4" borderId="3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8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  <xf numFmtId="0" fontId="0" fillId="0" borderId="13" pivotButton="0" quotePrefix="0" xfId="0"/>
    <xf numFmtId="165" fontId="0" fillId="0" borderId="1" applyAlignment="1" pivotButton="0" quotePrefix="0" xfId="0">
      <alignment horizontal="center"/>
    </xf>
    <xf numFmtId="1" fontId="0" fillId="12" borderId="1" applyAlignment="1" pivotButton="0" quotePrefix="0" xfId="0">
      <alignment horizontal="center"/>
    </xf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1" tabSelected="1" workbookViewId="0">
      <selection activeCell="A1" sqref="A1:C41"/>
    </sheetView>
  </sheetViews>
  <sheetFormatPr baseColWidth="8" defaultColWidth="24.28515625" defaultRowHeight="15"/>
  <cols>
    <col width="38.140625" customWidth="1" style="73" min="1" max="1"/>
    <col width="24.28515625" customWidth="1" style="73" min="2" max="16384"/>
  </cols>
  <sheetData>
    <row r="1">
      <c r="A1" s="113" t="inlineStr">
        <is>
          <t>DATE |   05/06/2026</t>
        </is>
      </c>
      <c r="B1" s="74" t="inlineStr">
        <is>
          <t>Today</t>
        </is>
      </c>
      <c r="C1" s="74" t="inlineStr">
        <is>
          <t>MTD</t>
        </is>
      </c>
    </row>
    <row r="2">
      <c r="A2" s="122" t="inlineStr">
        <is>
          <t>Free Service</t>
        </is>
      </c>
      <c r="B2" s="122" t="n">
        <v>6</v>
      </c>
      <c r="C2" s="122" t="n">
        <v>14</v>
      </c>
    </row>
    <row r="3">
      <c r="A3" s="122" t="inlineStr">
        <is>
          <t>Paid Service</t>
        </is>
      </c>
      <c r="B3" s="122" t="n">
        <v>1</v>
      </c>
      <c r="C3" s="122" t="n">
        <v>11</v>
      </c>
    </row>
    <row r="4">
      <c r="A4" s="122" t="inlineStr">
        <is>
          <t>Running Repair</t>
        </is>
      </c>
      <c r="B4" s="122" t="n">
        <v>1</v>
      </c>
      <c r="C4" s="122" t="n">
        <v>10</v>
      </c>
    </row>
    <row r="5">
      <c r="A5" s="122" t="inlineStr">
        <is>
          <t>Accidental Repair</t>
        </is>
      </c>
      <c r="B5" s="122" t="n">
        <v>3</v>
      </c>
      <c r="C5" s="122" t="n">
        <v>13</v>
      </c>
    </row>
    <row r="6">
      <c r="A6" s="75" t="inlineStr">
        <is>
          <t>Total Vehicle</t>
        </is>
      </c>
      <c r="B6" s="75">
        <f>SUM(B2:B5)</f>
        <v/>
      </c>
      <c r="C6" s="75">
        <f>SUM(C2:C5)</f>
        <v/>
      </c>
    </row>
    <row r="7">
      <c r="A7" s="122" t="inlineStr">
        <is>
          <t>Accidental Pending Vehicle</t>
        </is>
      </c>
      <c r="B7" s="122" t="n">
        <v>0</v>
      </c>
      <c r="C7" s="122" t="n">
        <v>9</v>
      </c>
    </row>
    <row r="8">
      <c r="A8" s="122" t="inlineStr">
        <is>
          <t>Mechanical Pending Vehicle</t>
        </is>
      </c>
      <c r="B8" s="122" t="n">
        <v>0</v>
      </c>
      <c r="C8" s="122" t="n">
        <v>0</v>
      </c>
    </row>
    <row r="9">
      <c r="A9" s="122" t="inlineStr">
        <is>
          <t>E/W</t>
        </is>
      </c>
      <c r="B9" s="122" t="n">
        <v>0</v>
      </c>
      <c r="C9" s="122" t="n">
        <v>1</v>
      </c>
    </row>
    <row r="10">
      <c r="A10" s="122" t="inlineStr">
        <is>
          <t>RSA</t>
        </is>
      </c>
      <c r="B10" s="122" t="n">
        <v>2</v>
      </c>
      <c r="C10" s="122" t="n">
        <v>8</v>
      </c>
    </row>
    <row r="11">
      <c r="A11" s="122" t="inlineStr">
        <is>
          <t>SOT/MCP</t>
        </is>
      </c>
      <c r="B11" s="122" t="n">
        <v>0</v>
      </c>
      <c r="C11" s="122" t="n">
        <v>0</v>
      </c>
    </row>
    <row r="12">
      <c r="A12" s="122" t="inlineStr">
        <is>
          <t>Bodyshop SOT/MCP</t>
        </is>
      </c>
      <c r="B12" s="122" t="n">
        <v>0</v>
      </c>
      <c r="C12" s="122" t="n">
        <v>0</v>
      </c>
    </row>
    <row r="13">
      <c r="A13" s="111" t="inlineStr">
        <is>
          <t>Total Labour</t>
        </is>
      </c>
      <c r="B13" s="111">
        <f>B15+B17</f>
        <v/>
      </c>
      <c r="C13" s="110">
        <f>C15+C17</f>
        <v/>
      </c>
    </row>
    <row r="14">
      <c r="A14" s="111" t="inlineStr">
        <is>
          <t>Total Parts</t>
        </is>
      </c>
      <c r="B14" s="111">
        <f>B16+B18</f>
        <v/>
      </c>
      <c r="C14" s="111">
        <f>C16+C18</f>
        <v/>
      </c>
    </row>
    <row r="15">
      <c r="A15" s="122" t="inlineStr">
        <is>
          <t>Mechanical Labour</t>
        </is>
      </c>
      <c r="B15" s="122" t="n">
        <v>21763</v>
      </c>
      <c r="C15" s="122" t="n">
        <v>89759</v>
      </c>
    </row>
    <row r="16">
      <c r="A16" s="122" t="inlineStr">
        <is>
          <t>Mechanical Parts</t>
        </is>
      </c>
      <c r="B16" s="122" t="n">
        <v>37854</v>
      </c>
      <c r="C16" s="122" t="n">
        <v>164381</v>
      </c>
    </row>
    <row r="17">
      <c r="A17" s="122" t="inlineStr">
        <is>
          <t>Bodyshop Labour</t>
        </is>
      </c>
      <c r="B17" s="122" t="n">
        <v>19189</v>
      </c>
      <c r="C17" s="122" t="n">
        <v>44568</v>
      </c>
    </row>
    <row r="18">
      <c r="A18" s="122" t="inlineStr">
        <is>
          <t>Bodyshop Parts</t>
        </is>
      </c>
      <c r="B18" s="122" t="n">
        <v>38861</v>
      </c>
      <c r="C18" s="122" t="n">
        <v>45660</v>
      </c>
    </row>
    <row r="19">
      <c r="A19" s="122" t="inlineStr">
        <is>
          <t>Free Service Delivered</t>
        </is>
      </c>
      <c r="B19" s="122" t="n">
        <v>6</v>
      </c>
      <c r="C19" s="122" t="n">
        <v>14</v>
      </c>
    </row>
    <row r="20">
      <c r="A20" s="122" t="inlineStr">
        <is>
          <t>Paid Service Delivered</t>
        </is>
      </c>
      <c r="B20" s="122" t="n">
        <v>1</v>
      </c>
      <c r="C20" s="122" t="n">
        <v>13</v>
      </c>
    </row>
    <row r="21">
      <c r="A21" s="122" t="inlineStr">
        <is>
          <t>Running Repair Delivered</t>
        </is>
      </c>
      <c r="B21" s="122" t="n">
        <v>3</v>
      </c>
      <c r="C21" s="122" t="n">
        <v>11</v>
      </c>
    </row>
    <row r="22">
      <c r="A22" s="122" t="inlineStr">
        <is>
          <t>Accidental Repair Delivered</t>
        </is>
      </c>
      <c r="B22" s="122" t="n">
        <v>5</v>
      </c>
      <c r="C22" s="122" t="n">
        <v>7</v>
      </c>
    </row>
    <row r="23">
      <c r="A23" s="78" t="inlineStr">
        <is>
          <t>Total Delivered</t>
        </is>
      </c>
      <c r="B23" s="78">
        <f>SUM(B19:B22)</f>
        <v/>
      </c>
      <c r="C23" s="78">
        <f>SUM(C19:C22)</f>
        <v/>
      </c>
    </row>
    <row r="24">
      <c r="A24" s="122" t="inlineStr">
        <is>
          <t>Alignment</t>
        </is>
      </c>
      <c r="B24" s="122" t="n">
        <v>18</v>
      </c>
      <c r="C24" s="138" t="n"/>
    </row>
    <row r="25">
      <c r="A25" s="122" t="inlineStr">
        <is>
          <t>Balancing</t>
        </is>
      </c>
      <c r="B25" s="122" t="n">
        <v>15</v>
      </c>
      <c r="C25" s="138" t="n"/>
    </row>
    <row r="26">
      <c r="A26" s="122" t="inlineStr">
        <is>
          <t>Alignment Labour</t>
        </is>
      </c>
      <c r="B26" s="122" t="n">
        <v>10597</v>
      </c>
      <c r="C26" s="138" t="n"/>
    </row>
    <row r="27">
      <c r="A27" s="122" t="inlineStr">
        <is>
          <t>Balancing Labour</t>
        </is>
      </c>
      <c r="B27" s="122" t="n">
        <v>8610</v>
      </c>
      <c r="C27" s="138" t="n"/>
    </row>
    <row r="28">
      <c r="A28" s="74" t="inlineStr">
        <is>
          <t>Average RO</t>
        </is>
      </c>
      <c r="B28" s="123">
        <f>(C2+C3+C4+C5)/5</f>
        <v/>
      </c>
      <c r="C28" s="138" t="n"/>
    </row>
    <row r="29">
      <c r="A29" s="78" t="inlineStr">
        <is>
          <t>Average Labour</t>
        </is>
      </c>
      <c r="B29" s="121">
        <f>C13/(C19+C20+C21+C22)</f>
        <v/>
      </c>
      <c r="C29" s="138" t="n"/>
    </row>
    <row r="30">
      <c r="A30" s="78" t="inlineStr">
        <is>
          <t>Average Labour Mech</t>
        </is>
      </c>
      <c r="B30" s="121">
        <f>C15/(C19+C20+C21)</f>
        <v/>
      </c>
      <c r="C30" s="138" t="n"/>
    </row>
    <row r="31">
      <c r="A31" s="78" t="inlineStr">
        <is>
          <t>Average Labour BS</t>
        </is>
      </c>
      <c r="B31" s="121">
        <f>C17/C22</f>
        <v/>
      </c>
      <c r="C31" s="138" t="n"/>
    </row>
    <row r="32">
      <c r="A32" s="78" t="inlineStr">
        <is>
          <t>Average Parts</t>
        </is>
      </c>
      <c r="B32" s="121">
        <f>C14/(C19+C20+C21+C22)</f>
        <v/>
      </c>
      <c r="C32" s="138" t="n"/>
    </row>
    <row r="33">
      <c r="A33" s="78" t="inlineStr">
        <is>
          <t>Average Parts Mech</t>
        </is>
      </c>
      <c r="B33" s="121">
        <f>C16/(C19+C21+C20)</f>
        <v/>
      </c>
      <c r="C33" s="138" t="n"/>
    </row>
    <row r="34">
      <c r="A34" s="78" t="inlineStr">
        <is>
          <t>Average Parts BS</t>
        </is>
      </c>
      <c r="B34" s="121">
        <f>C18/C22</f>
        <v/>
      </c>
      <c r="C34" s="138" t="n"/>
    </row>
    <row r="35">
      <c r="A35" s="122" t="inlineStr">
        <is>
          <t>Engine Oil Qty LTRS</t>
        </is>
      </c>
      <c r="B35" s="139" t="n">
        <v>106</v>
      </c>
      <c r="C35" s="138" t="n"/>
    </row>
    <row r="36">
      <c r="A36" s="78" t="inlineStr">
        <is>
          <t>Oil Sale per RO QTY</t>
        </is>
      </c>
      <c r="B36" s="121">
        <f>B35/(C2+C3+C4+C5)</f>
        <v/>
      </c>
      <c r="C36" s="138" t="n"/>
    </row>
    <row r="37">
      <c r="A37" s="122" t="inlineStr">
        <is>
          <t>SYNTHETIC OIL QTY LTS</t>
        </is>
      </c>
      <c r="B37" s="122" t="n">
        <v>0</v>
      </c>
      <c r="C37" s="122" t="n">
        <v>0</v>
      </c>
    </row>
    <row r="38">
      <c r="A38" s="122" t="inlineStr">
        <is>
          <t>SYNTHETIC Oil Sale per RO QTY</t>
        </is>
      </c>
      <c r="B38" s="122" t="n">
        <v>0</v>
      </c>
      <c r="C38" s="122" t="n">
        <v>0</v>
      </c>
    </row>
    <row r="39">
      <c r="A39" s="74" t="inlineStr">
        <is>
          <t>Oil PER RO BODYSHOP</t>
        </is>
      </c>
      <c r="B39" s="123">
        <f>0/C22</f>
        <v/>
      </c>
      <c r="C39" s="138" t="n"/>
    </row>
    <row r="40">
      <c r="A40" s="74" t="inlineStr">
        <is>
          <t>Oil PER RO MECH</t>
        </is>
      </c>
      <c r="B40" s="123">
        <f>106/(C19+C20+C21)</f>
        <v/>
      </c>
      <c r="C40" s="138" t="n"/>
    </row>
    <row r="41">
      <c r="A41" s="79" t="inlineStr">
        <is>
          <t>Average Labour Per Ro Without VAS</t>
        </is>
      </c>
      <c r="B41" s="140">
        <f>(C13-18230)/C23</f>
        <v/>
      </c>
      <c r="C41" s="138" t="n"/>
    </row>
  </sheetData>
  <mergeCells count="16">
    <mergeCell ref="B39:C39"/>
    <mergeCell ref="B24:C24"/>
    <mergeCell ref="B30:C30"/>
    <mergeCell ref="B29:C29"/>
    <mergeCell ref="B33:C33"/>
    <mergeCell ref="B25:C25"/>
    <mergeCell ref="B26:C26"/>
    <mergeCell ref="B34:C34"/>
    <mergeCell ref="B27:C27"/>
    <mergeCell ref="B28:C28"/>
    <mergeCell ref="B36:C36"/>
    <mergeCell ref="B32:C32"/>
    <mergeCell ref="B31:C31"/>
    <mergeCell ref="B40:C40"/>
    <mergeCell ref="B41:C41"/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2026-05-02T01:51:00Z</dcterms:created>
  <dcterms:modified xmlns:dcterms="http://purl.org/dc/terms/" xmlns:xsi="http://www.w3.org/2001/XMLSchema-instance" xsi:type="dcterms:W3CDTF">2026-06-07T06:28:20Z</dcterms:modified>
  <cp:lastModifiedBy>HP</cp:lastModifiedBy>
  <cp:lastPrinted>2026-05-19T11:30:58Z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24DB471A7B8E444EB5EA5ACFC592EAC3_12</vt:lpwstr>
  </property>
  <property name="KSOProductBuildVer" fmtid="{D5CDD505-2E9C-101B-9397-08002B2CF9AE}" pid="3">
    <vt:lpwstr xmlns:vt="http://schemas.openxmlformats.org/officeDocument/2006/docPropsVTypes">1033-12.1.0.26372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0</vt:bool>
  </property>
</Properties>
</file>